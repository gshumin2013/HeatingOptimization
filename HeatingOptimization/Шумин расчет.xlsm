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АСУТП\MixtureOptimization-master\"/>
    </mc:Choice>
  </mc:AlternateContent>
  <bookViews>
    <workbookView xWindow="0" yWindow="0" windowWidth="28800" windowHeight="11835" activeTab="1"/>
  </bookViews>
  <sheets>
    <sheet name="Лист1" sheetId="1" r:id="rId1"/>
    <sheet name="Лист1 (2)" sheetId="2" r:id="rId2"/>
  </sheets>
  <definedNames>
    <definedName name="solver_adj" localSheetId="0" hidden="1">Лист1!$C$12:$G$15</definedName>
    <definedName name="solver_adj" localSheetId="1" hidden="1">'Лист1 (2)'!$C$12:$G$15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Лист1!$C$16</definedName>
    <definedName name="solver_lhs1" localSheetId="1" hidden="1">'Лист1 (2)'!$C$16</definedName>
    <definedName name="solver_lhs10" localSheetId="0" hidden="1">Лист1!$H$26</definedName>
    <definedName name="solver_lhs10" localSheetId="1" hidden="1">'Лист1 (2)'!$H$26</definedName>
    <definedName name="solver_lhs2" localSheetId="0" hidden="1">Лист1!$D$16</definedName>
    <definedName name="solver_lhs2" localSheetId="1" hidden="1">'Лист1 (2)'!$D$16</definedName>
    <definedName name="solver_lhs3" localSheetId="0" hidden="1">Лист1!$E$16</definedName>
    <definedName name="solver_lhs3" localSheetId="1" hidden="1">'Лист1 (2)'!$E$16</definedName>
    <definedName name="solver_lhs4" localSheetId="0" hidden="1">Лист1!$F$16</definedName>
    <definedName name="solver_lhs4" localSheetId="1" hidden="1">'Лист1 (2)'!$F$16</definedName>
    <definedName name="solver_lhs5" localSheetId="0" hidden="1">Лист1!$G$16</definedName>
    <definedName name="solver_lhs5" localSheetId="1" hidden="1">'Лист1 (2)'!$G$16</definedName>
    <definedName name="solver_lhs6" localSheetId="0" hidden="1">Лист1!$H$12</definedName>
    <definedName name="solver_lhs6" localSheetId="1" hidden="1">'Лист1 (2)'!$H$12</definedName>
    <definedName name="solver_lhs7" localSheetId="0" hidden="1">Лист1!$H$13</definedName>
    <definedName name="solver_lhs7" localSheetId="1" hidden="1">'Лист1 (2)'!$H$13</definedName>
    <definedName name="solver_lhs8" localSheetId="0" hidden="1">Лист1!$H$14</definedName>
    <definedName name="solver_lhs8" localSheetId="1" hidden="1">'Лист1 (2)'!$H$14</definedName>
    <definedName name="solver_lhs9" localSheetId="0" hidden="1">Лист1!$H$15</definedName>
    <definedName name="solver_lhs9" localSheetId="1" hidden="1">'Лист1 (2)'!$H$15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9</definedName>
    <definedName name="solver_num" localSheetId="1" hidden="1">9</definedName>
    <definedName name="solver_nwt" localSheetId="0" hidden="1">1</definedName>
    <definedName name="solver_nwt" localSheetId="1" hidden="1">1</definedName>
    <definedName name="solver_opt" localSheetId="0" hidden="1">Лист1!$H$26</definedName>
    <definedName name="solver_opt" localSheetId="1" hidden="1">'Лист1 (2)'!$H$26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1</definedName>
    <definedName name="solver_rel1" localSheetId="1" hidden="1">1</definedName>
    <definedName name="solver_rel10" localSheetId="0" hidden="1">3</definedName>
    <definedName name="solver_rel10" localSheetId="1" hidden="1">3</definedName>
    <definedName name="solver_rel2" localSheetId="0" hidden="1">1</definedName>
    <definedName name="solver_rel2" localSheetId="1" hidden="1">1</definedName>
    <definedName name="solver_rel3" localSheetId="0" hidden="1">1</definedName>
    <definedName name="solver_rel3" localSheetId="1" hidden="1">1</definedName>
    <definedName name="solver_rel4" localSheetId="0" hidden="1">1</definedName>
    <definedName name="solver_rel4" localSheetId="1" hidden="1">1</definedName>
    <definedName name="solver_rel5" localSheetId="0" hidden="1">1</definedName>
    <definedName name="solver_rel5" localSheetId="1" hidden="1">1</definedName>
    <definedName name="solver_rel6" localSheetId="0" hidden="1">3</definedName>
    <definedName name="solver_rel6" localSheetId="1" hidden="1">3</definedName>
    <definedName name="solver_rel7" localSheetId="0" hidden="1">3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0" hidden="1">3</definedName>
    <definedName name="solver_rel9" localSheetId="1" hidden="1">3</definedName>
    <definedName name="solver_rhs1" localSheetId="0" hidden="1">Лист1!$K$2</definedName>
    <definedName name="solver_rhs1" localSheetId="1" hidden="1">'Лист1 (2)'!$K$2</definedName>
    <definedName name="solver_rhs10" localSheetId="0" hidden="1">3521</definedName>
    <definedName name="solver_rhs10" localSheetId="1" hidden="1">3521</definedName>
    <definedName name="solver_rhs2" localSheetId="0" hidden="1">Лист1!$L$2</definedName>
    <definedName name="solver_rhs2" localSheetId="1" hidden="1">'Лист1 (2)'!$L$2</definedName>
    <definedName name="solver_rhs3" localSheetId="0" hidden="1">Лист1!$M$2</definedName>
    <definedName name="solver_rhs3" localSheetId="1" hidden="1">'Лист1 (2)'!$M$2</definedName>
    <definedName name="solver_rhs4" localSheetId="0" hidden="1">Лист1!$N$2</definedName>
    <definedName name="solver_rhs4" localSheetId="1" hidden="1">'Лист1 (2)'!$N$2</definedName>
    <definedName name="solver_rhs5" localSheetId="0" hidden="1">Лист1!$O$2</definedName>
    <definedName name="solver_rhs5" localSheetId="1" hidden="1">'Лист1 (2)'!$O$2</definedName>
    <definedName name="solver_rhs6" localSheetId="0" hidden="1">Лист1!$B$12</definedName>
    <definedName name="solver_rhs6" localSheetId="1" hidden="1">'Лист1 (2)'!$B$12</definedName>
    <definedName name="solver_rhs7" localSheetId="0" hidden="1">Лист1!$B$13</definedName>
    <definedName name="solver_rhs7" localSheetId="1" hidden="1">'Лист1 (2)'!$B$13</definedName>
    <definedName name="solver_rhs8" localSheetId="0" hidden="1">Лист1!$B$14</definedName>
    <definedName name="solver_rhs8" localSheetId="1" hidden="1">'Лист1 (2)'!$B$14</definedName>
    <definedName name="solver_rhs9" localSheetId="0" hidden="1">Лист1!$B$15</definedName>
    <definedName name="solver_rhs9" localSheetId="1" hidden="1">'Лист1 (2)'!$B$15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2" l="1"/>
  <c r="F25" i="2"/>
  <c r="E25" i="2"/>
  <c r="D25" i="2"/>
  <c r="C25" i="2"/>
  <c r="G24" i="2"/>
  <c r="F24" i="2"/>
  <c r="E24" i="2"/>
  <c r="D24" i="2"/>
  <c r="C24" i="2"/>
  <c r="G23" i="2"/>
  <c r="F23" i="2"/>
  <c r="E23" i="2"/>
  <c r="D23" i="2"/>
  <c r="C23" i="2"/>
  <c r="G22" i="2"/>
  <c r="F22" i="2"/>
  <c r="E22" i="2"/>
  <c r="D22" i="2"/>
  <c r="C22" i="2"/>
  <c r="G16" i="2"/>
  <c r="F16" i="2"/>
  <c r="E16" i="2"/>
  <c r="D16" i="2"/>
  <c r="C16" i="2"/>
  <c r="H15" i="2"/>
  <c r="H14" i="2"/>
  <c r="H13" i="2"/>
  <c r="H12" i="2"/>
  <c r="H23" i="2" l="1"/>
  <c r="H25" i="2"/>
  <c r="H22" i="2"/>
  <c r="H24" i="2"/>
  <c r="H26" i="2" l="1"/>
  <c r="C23" i="1" l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D22" i="1"/>
  <c r="E22" i="1"/>
  <c r="F22" i="1"/>
  <c r="G22" i="1"/>
  <c r="C22" i="1"/>
  <c r="C16" i="1"/>
  <c r="D16" i="1"/>
  <c r="E16" i="1"/>
  <c r="F16" i="1"/>
  <c r="G16" i="1"/>
  <c r="H13" i="1"/>
  <c r="H14" i="1"/>
  <c r="H15" i="1"/>
  <c r="H12" i="1"/>
  <c r="H25" i="1" l="1"/>
  <c r="H23" i="1"/>
  <c r="H24" i="1"/>
  <c r="H22" i="1"/>
  <c r="H26" i="1" l="1"/>
</calcChain>
</file>

<file path=xl/sharedStrings.xml><?xml version="1.0" encoding="utf-8"?>
<sst xmlns="http://schemas.openxmlformats.org/spreadsheetml/2006/main" count="74" uniqueCount="19">
  <si>
    <t>№</t>
  </si>
  <si>
    <t>агрегата</t>
  </si>
  <si>
    <t>Потребности агрегатов в топливе, т</t>
  </si>
  <si>
    <t>Теплотворная способность различных топлив топлива</t>
  </si>
  <si>
    <t>при использовании его на агрегатах, МДж/т топлива</t>
  </si>
  <si>
    <t>топливо 1</t>
  </si>
  <si>
    <t>топливо 2</t>
  </si>
  <si>
    <t>топливо 3</t>
  </si>
  <si>
    <t>топливо 4</t>
  </si>
  <si>
    <t>Топливо 5</t>
  </si>
  <si>
    <t>Топливо 3</t>
  </si>
  <si>
    <t>топливо 5</t>
  </si>
  <si>
    <t>Наличие сортов топлива, т</t>
  </si>
  <si>
    <t>Кол-во топлива, т</t>
  </si>
  <si>
    <t>Исп. Топлива:</t>
  </si>
  <si>
    <t>Топлива в агрегате:</t>
  </si>
  <si>
    <t>Всего произведено агрегатом:</t>
  </si>
  <si>
    <t>Итого:</t>
  </si>
  <si>
    <t>Количество теплоты, МДж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</si>
</sst>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0B4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vertical="center" wrapText="1"/>
    </xf>
    <xf numFmtId="0" fontId="0" fillId="0" borderId="13" xfId="0" applyBorder="1"/>
    <xf numFmtId="0" fontId="1" fillId="0" borderId="13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0" fillId="2" borderId="13" xfId="0" applyFill="1" applyBorder="1"/>
    <xf numFmtId="2" fontId="0" fillId="3" borderId="13" xfId="0" applyNumberFormat="1" applyFill="1" applyBorder="1"/>
    <xf numFmtId="0" fontId="0" fillId="3" borderId="13" xfId="0" applyFill="1" applyBorder="1"/>
    <xf numFmtId="0" fontId="1" fillId="3" borderId="8" xfId="0" applyFont="1" applyFill="1" applyBorder="1" applyAlignment="1">
      <alignment horizontal="center" vertical="center" wrapText="1"/>
    </xf>
    <xf numFmtId="2" fontId="1" fillId="2" borderId="8" xfId="0" applyNumberFormat="1" applyFont="1" applyFill="1" applyBorder="1" applyAlignment="1">
      <alignment horizontal="center" vertical="center" wrapText="1"/>
    </xf>
    <xf numFmtId="2" fontId="1" fillId="2" borderId="10" xfId="0" applyNumberFormat="1" applyFont="1" applyFill="1" applyBorder="1" applyAlignment="1">
      <alignment horizontal="center" vertical="center" wrapText="1"/>
    </xf>
    <xf numFmtId="2" fontId="1" fillId="2" borderId="7" xfId="0" applyNumberFormat="1" applyFon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0" fillId="5" borderId="0" xfId="0" applyFill="1"/>
    <xf numFmtId="0" fontId="1" fillId="0" borderId="14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0</xdr:rowOff>
        </xdr:from>
        <xdr:to>
          <xdr:col>12</xdr:col>
          <xdr:colOff>600075</xdr:colOff>
          <xdr:row>8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26"/>
  <sheetViews>
    <sheetView workbookViewId="0">
      <selection activeCell="N18" sqref="N18"/>
    </sheetView>
  </sheetViews>
  <sheetFormatPr defaultRowHeight="15" x14ac:dyDescent="0.25"/>
  <cols>
    <col min="2" max="2" width="15.140625" customWidth="1"/>
  </cols>
  <sheetData>
    <row r="1" spans="1:15" ht="32.25" customHeight="1" thickBot="1" x14ac:dyDescent="0.3">
      <c r="A1" s="1" t="s">
        <v>0</v>
      </c>
      <c r="B1" s="8" t="s">
        <v>2</v>
      </c>
      <c r="C1" s="12" t="s">
        <v>3</v>
      </c>
      <c r="D1" s="11"/>
      <c r="E1" s="11"/>
      <c r="F1" s="11"/>
      <c r="G1" s="7"/>
      <c r="J1" s="16"/>
      <c r="K1" s="17" t="s">
        <v>5</v>
      </c>
      <c r="L1" s="17" t="s">
        <v>6</v>
      </c>
      <c r="M1" s="17" t="s">
        <v>10</v>
      </c>
      <c r="N1" s="17" t="s">
        <v>8</v>
      </c>
      <c r="O1" s="17" t="s">
        <v>11</v>
      </c>
    </row>
    <row r="2" spans="1:15" ht="39" thickBot="1" x14ac:dyDescent="0.3">
      <c r="A2" s="2" t="s">
        <v>1</v>
      </c>
      <c r="B2" s="9"/>
      <c r="C2" s="14" t="s">
        <v>4</v>
      </c>
      <c r="D2" s="13"/>
      <c r="E2" s="13"/>
      <c r="F2" s="13"/>
      <c r="G2" s="15"/>
      <c r="J2" s="18" t="s">
        <v>12</v>
      </c>
      <c r="K2" s="26">
        <v>240</v>
      </c>
      <c r="L2" s="26">
        <v>600</v>
      </c>
      <c r="M2" s="26">
        <v>100</v>
      </c>
      <c r="N2" s="26">
        <v>200</v>
      </c>
      <c r="O2" s="26">
        <v>800</v>
      </c>
    </row>
    <row r="3" spans="1:15" ht="15.75" thickBot="1" x14ac:dyDescent="0.3">
      <c r="A3" s="3"/>
      <c r="B3" s="10"/>
      <c r="C3" s="5" t="s">
        <v>5</v>
      </c>
      <c r="D3" s="5" t="s">
        <v>6</v>
      </c>
      <c r="E3" s="5" t="s">
        <v>7</v>
      </c>
      <c r="F3" s="5" t="s">
        <v>8</v>
      </c>
      <c r="G3" s="5" t="s">
        <v>9</v>
      </c>
    </row>
    <row r="4" spans="1:15" ht="15.75" thickBot="1" x14ac:dyDescent="0.3">
      <c r="A4" s="6">
        <v>1</v>
      </c>
      <c r="B4" s="5">
        <v>80</v>
      </c>
      <c r="C4" s="31">
        <v>4</v>
      </c>
      <c r="D4" s="31">
        <v>5</v>
      </c>
      <c r="E4" s="31">
        <v>10</v>
      </c>
      <c r="F4" s="31">
        <v>11</v>
      </c>
      <c r="G4" s="31">
        <v>1</v>
      </c>
    </row>
    <row r="5" spans="1:15" ht="15.75" thickBot="1" x14ac:dyDescent="0.3">
      <c r="A5" s="6">
        <v>2</v>
      </c>
      <c r="B5" s="5">
        <v>90</v>
      </c>
      <c r="C5" s="31">
        <v>3</v>
      </c>
      <c r="D5" s="31">
        <v>5</v>
      </c>
      <c r="E5" s="31">
        <v>3</v>
      </c>
      <c r="F5" s="31">
        <v>10</v>
      </c>
      <c r="G5" s="31">
        <v>11</v>
      </c>
    </row>
    <row r="6" spans="1:15" ht="15.75" thickBot="1" x14ac:dyDescent="0.3">
      <c r="A6" s="6">
        <v>3</v>
      </c>
      <c r="B6" s="5">
        <v>70</v>
      </c>
      <c r="C6" s="31">
        <v>12</v>
      </c>
      <c r="D6" s="31">
        <v>14</v>
      </c>
      <c r="E6" s="31">
        <v>15</v>
      </c>
      <c r="F6" s="31">
        <v>10</v>
      </c>
      <c r="G6" s="31">
        <v>11</v>
      </c>
    </row>
    <row r="7" spans="1:15" ht="15.75" thickBot="1" x14ac:dyDescent="0.3">
      <c r="A7" s="6">
        <v>4</v>
      </c>
      <c r="B7" s="5">
        <v>60</v>
      </c>
      <c r="C7" s="31">
        <v>2</v>
      </c>
      <c r="D7" s="31">
        <v>5</v>
      </c>
      <c r="E7" s="31">
        <v>6</v>
      </c>
      <c r="F7" s="31">
        <v>7</v>
      </c>
      <c r="G7" s="31">
        <v>10</v>
      </c>
    </row>
    <row r="8" spans="1:15" ht="15.75" thickBot="1" x14ac:dyDescent="0.3"/>
    <row r="9" spans="1:15" x14ac:dyDescent="0.25">
      <c r="A9" s="1" t="s">
        <v>0</v>
      </c>
      <c r="B9" s="8" t="s">
        <v>2</v>
      </c>
      <c r="C9" s="12" t="s">
        <v>13</v>
      </c>
      <c r="D9" s="11"/>
      <c r="E9" s="11"/>
      <c r="F9" s="11"/>
      <c r="G9" s="7"/>
    </row>
    <row r="10" spans="1:15" ht="15.75" thickBot="1" x14ac:dyDescent="0.3">
      <c r="A10" s="2" t="s">
        <v>1</v>
      </c>
      <c r="B10" s="9"/>
      <c r="C10" s="14"/>
      <c r="D10" s="13"/>
      <c r="E10" s="13"/>
      <c r="F10" s="13"/>
      <c r="G10" s="15"/>
    </row>
    <row r="11" spans="1:15" ht="26.25" thickBot="1" x14ac:dyDescent="0.3">
      <c r="A11" s="3"/>
      <c r="B11" s="10"/>
      <c r="C11" s="5" t="s">
        <v>5</v>
      </c>
      <c r="D11" s="5" t="s">
        <v>6</v>
      </c>
      <c r="E11" s="5" t="s">
        <v>7</v>
      </c>
      <c r="F11" s="5" t="s">
        <v>8</v>
      </c>
      <c r="G11" s="4" t="s">
        <v>9</v>
      </c>
      <c r="H11" s="20" t="s">
        <v>15</v>
      </c>
    </row>
    <row r="12" spans="1:15" ht="15.75" thickBot="1" x14ac:dyDescent="0.3">
      <c r="A12" s="6">
        <v>1</v>
      </c>
      <c r="B12" s="26">
        <v>80</v>
      </c>
      <c r="C12" s="27">
        <v>0</v>
      </c>
      <c r="D12" s="27">
        <v>0</v>
      </c>
      <c r="E12" s="27">
        <v>0</v>
      </c>
      <c r="F12" s="27">
        <v>200.00000000000003</v>
      </c>
      <c r="G12" s="28">
        <v>0</v>
      </c>
      <c r="H12" s="25">
        <f>SUM(C12:G12)</f>
        <v>200.00000000000003</v>
      </c>
    </row>
    <row r="13" spans="1:15" ht="15.75" thickBot="1" x14ac:dyDescent="0.3">
      <c r="A13" s="6">
        <v>2</v>
      </c>
      <c r="B13" s="26">
        <v>90</v>
      </c>
      <c r="C13" s="27">
        <v>0</v>
      </c>
      <c r="D13" s="27">
        <v>0</v>
      </c>
      <c r="E13" s="27">
        <v>0</v>
      </c>
      <c r="F13" s="27">
        <v>0</v>
      </c>
      <c r="G13" s="28">
        <v>739.99998847722247</v>
      </c>
      <c r="H13" s="25">
        <f>SUM(C13:G13)</f>
        <v>739.99998847722247</v>
      </c>
    </row>
    <row r="14" spans="1:15" ht="15.75" thickBot="1" x14ac:dyDescent="0.3">
      <c r="A14" s="6">
        <v>3</v>
      </c>
      <c r="B14" s="26">
        <v>70</v>
      </c>
      <c r="C14" s="27">
        <v>240.00000000000003</v>
      </c>
      <c r="D14" s="27">
        <v>599.99999999999989</v>
      </c>
      <c r="E14" s="27">
        <v>99.999999999808779</v>
      </c>
      <c r="F14" s="27">
        <v>0</v>
      </c>
      <c r="G14" s="28">
        <v>5.903819077893926E-10</v>
      </c>
      <c r="H14" s="25">
        <f t="shared" ref="H13:H15" si="0">SUM(C14:G14)</f>
        <v>940.00000000039904</v>
      </c>
    </row>
    <row r="15" spans="1:15" ht="15.75" thickBot="1" x14ac:dyDescent="0.3">
      <c r="A15" s="6">
        <v>4</v>
      </c>
      <c r="B15" s="26">
        <v>60</v>
      </c>
      <c r="C15" s="29">
        <v>0</v>
      </c>
      <c r="D15" s="29">
        <v>0</v>
      </c>
      <c r="E15" s="29">
        <v>1.912205669099308E-10</v>
      </c>
      <c r="F15" s="29">
        <v>0</v>
      </c>
      <c r="G15" s="30">
        <v>60.000006705331714</v>
      </c>
      <c r="H15" s="25">
        <f t="shared" si="0"/>
        <v>60.000006705522935</v>
      </c>
    </row>
    <row r="16" spans="1:15" x14ac:dyDescent="0.25">
      <c r="B16" t="s">
        <v>14</v>
      </c>
      <c r="C16" s="24">
        <f>SUM(C12:C15)</f>
        <v>240.00000000000003</v>
      </c>
      <c r="D16" s="25">
        <f t="shared" ref="D16:G16" si="1">SUM(D12:D15)</f>
        <v>599.99999999999989</v>
      </c>
      <c r="E16" s="25">
        <f t="shared" si="1"/>
        <v>100</v>
      </c>
      <c r="F16" s="25">
        <f t="shared" si="1"/>
        <v>200.00000000000003</v>
      </c>
      <c r="G16" s="25">
        <f t="shared" si="1"/>
        <v>799.99999518314462</v>
      </c>
    </row>
    <row r="18" spans="1:8" ht="15.75" thickBot="1" x14ac:dyDescent="0.3"/>
    <row r="19" spans="1:8" x14ac:dyDescent="0.25">
      <c r="A19" s="12" t="s">
        <v>0</v>
      </c>
      <c r="B19" s="7"/>
      <c r="C19" s="12" t="s">
        <v>18</v>
      </c>
      <c r="D19" s="11"/>
      <c r="E19" s="11"/>
      <c r="F19" s="11"/>
      <c r="G19" s="7"/>
    </row>
    <row r="20" spans="1:8" ht="15.75" thickBot="1" x14ac:dyDescent="0.3">
      <c r="A20" s="33" t="s">
        <v>1</v>
      </c>
      <c r="B20" s="21"/>
      <c r="C20" s="14"/>
      <c r="D20" s="13"/>
      <c r="E20" s="13"/>
      <c r="F20" s="13"/>
      <c r="G20" s="21"/>
    </row>
    <row r="21" spans="1:8" ht="64.5" thickBot="1" x14ac:dyDescent="0.3">
      <c r="A21" s="34"/>
      <c r="B21" s="35"/>
      <c r="C21" s="5" t="s">
        <v>5</v>
      </c>
      <c r="D21" s="5" t="s">
        <v>6</v>
      </c>
      <c r="E21" s="5" t="s">
        <v>7</v>
      </c>
      <c r="F21" s="4" t="s">
        <v>8</v>
      </c>
      <c r="G21" s="22" t="s">
        <v>9</v>
      </c>
      <c r="H21" s="20" t="s">
        <v>16</v>
      </c>
    </row>
    <row r="22" spans="1:8" ht="15.75" thickBot="1" x14ac:dyDescent="0.3">
      <c r="A22" s="36">
        <v>1</v>
      </c>
      <c r="B22" s="37"/>
      <c r="C22" s="5">
        <f>C4*C12</f>
        <v>0</v>
      </c>
      <c r="D22" s="5">
        <f t="shared" ref="D22:G22" si="2">D4*D12</f>
        <v>0</v>
      </c>
      <c r="E22" s="5">
        <f t="shared" si="2"/>
        <v>0</v>
      </c>
      <c r="F22" s="4">
        <f t="shared" si="2"/>
        <v>2200.0000000000005</v>
      </c>
      <c r="G22" s="22">
        <f t="shared" si="2"/>
        <v>0</v>
      </c>
      <c r="H22" s="19">
        <f>SUM(C22:G22)</f>
        <v>2200.0000000000005</v>
      </c>
    </row>
    <row r="23" spans="1:8" ht="15.75" thickBot="1" x14ac:dyDescent="0.3">
      <c r="A23" s="36">
        <v>2</v>
      </c>
      <c r="B23" s="37"/>
      <c r="C23" s="5">
        <f t="shared" ref="C23:G23" si="3">C5*C13</f>
        <v>0</v>
      </c>
      <c r="D23" s="5">
        <f t="shared" si="3"/>
        <v>0</v>
      </c>
      <c r="E23" s="5">
        <f t="shared" si="3"/>
        <v>0</v>
      </c>
      <c r="F23" s="4">
        <f t="shared" si="3"/>
        <v>0</v>
      </c>
      <c r="G23" s="22">
        <f t="shared" si="3"/>
        <v>8139.9998732494469</v>
      </c>
      <c r="H23" s="19">
        <f t="shared" ref="H23:H25" si="4">SUM(C23:G23)</f>
        <v>8139.9998732494469</v>
      </c>
    </row>
    <row r="24" spans="1:8" ht="15.75" thickBot="1" x14ac:dyDescent="0.3">
      <c r="A24" s="36">
        <v>3</v>
      </c>
      <c r="B24" s="37"/>
      <c r="C24" s="5">
        <f t="shared" ref="C24:G24" si="5">C6*C14</f>
        <v>2880.0000000000005</v>
      </c>
      <c r="D24" s="5">
        <f t="shared" si="5"/>
        <v>8399.9999999999982</v>
      </c>
      <c r="E24" s="5">
        <f t="shared" si="5"/>
        <v>1499.9999999971317</v>
      </c>
      <c r="F24" s="4">
        <f t="shared" si="5"/>
        <v>0</v>
      </c>
      <c r="G24" s="22">
        <f t="shared" si="5"/>
        <v>6.4942009856833189E-9</v>
      </c>
      <c r="H24" s="19">
        <f t="shared" si="4"/>
        <v>12780.000000003623</v>
      </c>
    </row>
    <row r="25" spans="1:8" ht="15.75" thickBot="1" x14ac:dyDescent="0.3">
      <c r="A25" s="36">
        <v>4</v>
      </c>
      <c r="B25" s="37"/>
      <c r="C25" s="5">
        <f t="shared" ref="C25:G25" si="6">C7*C15</f>
        <v>0</v>
      </c>
      <c r="D25" s="5">
        <f t="shared" si="6"/>
        <v>0</v>
      </c>
      <c r="E25" s="5">
        <f t="shared" si="6"/>
        <v>1.1473234014595848E-9</v>
      </c>
      <c r="F25" s="4">
        <f t="shared" si="6"/>
        <v>0</v>
      </c>
      <c r="G25" s="22">
        <f t="shared" si="6"/>
        <v>600.00006705331714</v>
      </c>
      <c r="H25" s="19">
        <f t="shared" si="4"/>
        <v>600.00006705446447</v>
      </c>
    </row>
    <row r="26" spans="1:8" x14ac:dyDescent="0.25">
      <c r="G26" s="19" t="s">
        <v>17</v>
      </c>
      <c r="H26" s="23">
        <f>SUM(H22:H25)</f>
        <v>23719.999940307538</v>
      </c>
    </row>
  </sheetData>
  <mergeCells count="15">
    <mergeCell ref="A22:B22"/>
    <mergeCell ref="A23:B23"/>
    <mergeCell ref="A24:B24"/>
    <mergeCell ref="A25:B25"/>
    <mergeCell ref="C19:G19"/>
    <mergeCell ref="C20:G20"/>
    <mergeCell ref="A21:B21"/>
    <mergeCell ref="A20:B20"/>
    <mergeCell ref="A19:B19"/>
    <mergeCell ref="B1:B3"/>
    <mergeCell ref="C1:G1"/>
    <mergeCell ref="C2:G2"/>
    <mergeCell ref="B9:B11"/>
    <mergeCell ref="C9:G9"/>
    <mergeCell ref="C10:G10"/>
  </mergeCells>
  <pageMargins left="0.7" right="0.7" top="0.75" bottom="0.75" header="0.3" footer="0.3"/>
  <ignoredErrors>
    <ignoredError sqref="H12 H14:H1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26"/>
  <sheetViews>
    <sheetView tabSelected="1" topLeftCell="A10" workbookViewId="0">
      <selection activeCell="J2" sqref="J2"/>
    </sheetView>
  </sheetViews>
  <sheetFormatPr defaultRowHeight="15" x14ac:dyDescent="0.25"/>
  <cols>
    <col min="2" max="2" width="15.140625" customWidth="1"/>
  </cols>
  <sheetData>
    <row r="1" spans="1:15" ht="32.25" customHeight="1" thickBot="1" x14ac:dyDescent="0.3">
      <c r="A1" s="1" t="s">
        <v>0</v>
      </c>
      <c r="B1" s="8" t="s">
        <v>2</v>
      </c>
      <c r="C1" s="12" t="s">
        <v>3</v>
      </c>
      <c r="D1" s="11"/>
      <c r="E1" s="11"/>
      <c r="F1" s="11"/>
      <c r="G1" s="7"/>
      <c r="J1" s="16"/>
      <c r="K1" s="17" t="s">
        <v>5</v>
      </c>
      <c r="L1" s="17" t="s">
        <v>6</v>
      </c>
      <c r="M1" s="17" t="s">
        <v>10</v>
      </c>
      <c r="N1" s="17" t="s">
        <v>8</v>
      </c>
      <c r="O1" s="17" t="s">
        <v>11</v>
      </c>
    </row>
    <row r="2" spans="1:15" ht="39" thickBot="1" x14ac:dyDescent="0.3">
      <c r="A2" s="2" t="s">
        <v>1</v>
      </c>
      <c r="B2" s="9"/>
      <c r="C2" s="14" t="s">
        <v>4</v>
      </c>
      <c r="D2" s="13"/>
      <c r="E2" s="13"/>
      <c r="F2" s="13"/>
      <c r="G2" s="15"/>
      <c r="J2" s="18" t="s">
        <v>12</v>
      </c>
      <c r="K2" s="26">
        <v>240</v>
      </c>
      <c r="L2" s="26">
        <v>600</v>
      </c>
      <c r="M2" s="26">
        <v>100</v>
      </c>
      <c r="N2" s="26">
        <v>200</v>
      </c>
      <c r="O2" s="26">
        <v>800</v>
      </c>
    </row>
    <row r="3" spans="1:15" ht="15.75" thickBot="1" x14ac:dyDescent="0.3">
      <c r="A3" s="3"/>
      <c r="B3" s="10"/>
      <c r="C3" s="5" t="s">
        <v>5</v>
      </c>
      <c r="D3" s="5" t="s">
        <v>6</v>
      </c>
      <c r="E3" s="5" t="s">
        <v>7</v>
      </c>
      <c r="F3" s="5" t="s">
        <v>8</v>
      </c>
      <c r="G3" s="5" t="s">
        <v>9</v>
      </c>
    </row>
    <row r="4" spans="1:15" ht="15.75" thickBot="1" x14ac:dyDescent="0.3">
      <c r="A4" s="6">
        <v>1</v>
      </c>
      <c r="B4" s="5">
        <v>80</v>
      </c>
      <c r="C4" s="31">
        <v>4</v>
      </c>
      <c r="D4" s="31">
        <v>5</v>
      </c>
      <c r="E4" s="31">
        <v>10</v>
      </c>
      <c r="F4" s="31">
        <v>11</v>
      </c>
      <c r="G4" s="31">
        <v>1</v>
      </c>
    </row>
    <row r="5" spans="1:15" ht="15.75" thickBot="1" x14ac:dyDescent="0.3">
      <c r="A5" s="6">
        <v>2</v>
      </c>
      <c r="B5" s="5">
        <v>90</v>
      </c>
      <c r="C5" s="31">
        <v>3</v>
      </c>
      <c r="D5" s="31">
        <v>5</v>
      </c>
      <c r="E5" s="31">
        <v>3</v>
      </c>
      <c r="F5" s="31">
        <v>10</v>
      </c>
      <c r="G5" s="31">
        <v>11</v>
      </c>
    </row>
    <row r="6" spans="1:15" ht="15.75" thickBot="1" x14ac:dyDescent="0.3">
      <c r="A6" s="6">
        <v>3</v>
      </c>
      <c r="B6" s="5">
        <v>70</v>
      </c>
      <c r="C6" s="31">
        <v>12</v>
      </c>
      <c r="D6" s="31">
        <v>14</v>
      </c>
      <c r="E6" s="31">
        <v>15</v>
      </c>
      <c r="F6" s="31">
        <v>10</v>
      </c>
      <c r="G6" s="31">
        <v>11</v>
      </c>
    </row>
    <row r="7" spans="1:15" ht="15.75" thickBot="1" x14ac:dyDescent="0.3">
      <c r="A7" s="6">
        <v>4</v>
      </c>
      <c r="B7" s="5">
        <v>60</v>
      </c>
      <c r="C7" s="31">
        <v>2</v>
      </c>
      <c r="D7" s="31">
        <v>5</v>
      </c>
      <c r="E7" s="31">
        <v>6</v>
      </c>
      <c r="F7" s="31">
        <v>7</v>
      </c>
      <c r="G7" s="31">
        <v>10</v>
      </c>
    </row>
    <row r="8" spans="1:15" ht="15.75" thickBot="1" x14ac:dyDescent="0.3"/>
    <row r="9" spans="1:15" x14ac:dyDescent="0.25">
      <c r="A9" s="1" t="s">
        <v>0</v>
      </c>
      <c r="B9" s="8" t="s">
        <v>2</v>
      </c>
      <c r="C9" s="12" t="s">
        <v>13</v>
      </c>
      <c r="D9" s="11"/>
      <c r="E9" s="11"/>
      <c r="F9" s="11"/>
      <c r="G9" s="7"/>
    </row>
    <row r="10" spans="1:15" ht="15.75" thickBot="1" x14ac:dyDescent="0.3">
      <c r="A10" s="2" t="s">
        <v>1</v>
      </c>
      <c r="B10" s="9"/>
      <c r="C10" s="14"/>
      <c r="D10" s="13"/>
      <c r="E10" s="13"/>
      <c r="F10" s="13"/>
      <c r="G10" s="15"/>
    </row>
    <row r="11" spans="1:15" ht="26.25" thickBot="1" x14ac:dyDescent="0.3">
      <c r="A11" s="3"/>
      <c r="B11" s="10"/>
      <c r="C11" s="5" t="s">
        <v>5</v>
      </c>
      <c r="D11" s="5" t="s">
        <v>6</v>
      </c>
      <c r="E11" s="5" t="s">
        <v>7</v>
      </c>
      <c r="F11" s="5" t="s">
        <v>8</v>
      </c>
      <c r="G11" s="4" t="s">
        <v>9</v>
      </c>
      <c r="H11" s="20" t="s">
        <v>15</v>
      </c>
    </row>
    <row r="12" spans="1:15" ht="15.75" thickBot="1" x14ac:dyDescent="0.3">
      <c r="A12" s="6">
        <v>1</v>
      </c>
      <c r="B12" s="26">
        <v>80</v>
      </c>
      <c r="C12" s="32">
        <v>0</v>
      </c>
      <c r="D12" s="32">
        <v>0</v>
      </c>
      <c r="E12" s="32">
        <v>0</v>
      </c>
      <c r="F12" s="32">
        <v>200.00000000000006</v>
      </c>
      <c r="G12" s="32">
        <v>0</v>
      </c>
      <c r="H12" s="25">
        <f>SUM(C12:G12)</f>
        <v>200.00000000000006</v>
      </c>
    </row>
    <row r="13" spans="1:15" ht="15.75" thickBot="1" x14ac:dyDescent="0.3">
      <c r="A13" s="6">
        <v>2</v>
      </c>
      <c r="B13" s="26">
        <v>90</v>
      </c>
      <c r="C13" s="32">
        <v>0</v>
      </c>
      <c r="D13" s="32">
        <v>-3.5527136788005009E-15</v>
      </c>
      <c r="E13" s="32">
        <v>0</v>
      </c>
      <c r="F13" s="32">
        <v>0</v>
      </c>
      <c r="G13" s="32">
        <v>465.73145246358251</v>
      </c>
      <c r="H13" s="25">
        <f>SUM(C13:G13)</f>
        <v>465.73145246358251</v>
      </c>
    </row>
    <row r="14" spans="1:15" ht="15.75" thickBot="1" x14ac:dyDescent="0.3">
      <c r="A14" s="6">
        <v>3</v>
      </c>
      <c r="B14" s="26">
        <v>70</v>
      </c>
      <c r="C14" s="32">
        <v>240.00000000000003</v>
      </c>
      <c r="D14" s="32">
        <v>600</v>
      </c>
      <c r="E14" s="32">
        <v>100.00000000000001</v>
      </c>
      <c r="F14" s="32">
        <v>0</v>
      </c>
      <c r="G14" s="32">
        <v>274.26854753641743</v>
      </c>
      <c r="H14" s="25">
        <f t="shared" ref="H14:H15" si="0">SUM(C14:G14)</f>
        <v>1214.2685475364174</v>
      </c>
    </row>
    <row r="15" spans="1:15" ht="15.75" thickBot="1" x14ac:dyDescent="0.3">
      <c r="A15" s="6">
        <v>4</v>
      </c>
      <c r="B15" s="26">
        <v>60</v>
      </c>
      <c r="C15" s="32">
        <v>1.7763568394002505E-15</v>
      </c>
      <c r="D15" s="32">
        <v>0</v>
      </c>
      <c r="E15" s="32">
        <v>0</v>
      </c>
      <c r="F15" s="32">
        <v>0</v>
      </c>
      <c r="G15" s="32">
        <v>60</v>
      </c>
      <c r="H15" s="25">
        <f t="shared" si="0"/>
        <v>60</v>
      </c>
    </row>
    <row r="16" spans="1:15" x14ac:dyDescent="0.25">
      <c r="B16" t="s">
        <v>14</v>
      </c>
      <c r="C16" s="24">
        <f>SUM(C12:C15)</f>
        <v>240.00000000000003</v>
      </c>
      <c r="D16" s="25">
        <f t="shared" ref="D16:G16" si="1">SUM(D12:D15)</f>
        <v>600</v>
      </c>
      <c r="E16" s="25">
        <f t="shared" si="1"/>
        <v>100.00000000000001</v>
      </c>
      <c r="F16" s="25">
        <f t="shared" si="1"/>
        <v>200.00000000000006</v>
      </c>
      <c r="G16" s="25">
        <f t="shared" si="1"/>
        <v>800</v>
      </c>
    </row>
    <row r="18" spans="1:8" ht="15.75" thickBot="1" x14ac:dyDescent="0.3"/>
    <row r="19" spans="1:8" ht="15" customHeight="1" x14ac:dyDescent="0.25">
      <c r="A19" s="12" t="s">
        <v>0</v>
      </c>
      <c r="B19" s="7"/>
      <c r="C19" s="12" t="s">
        <v>18</v>
      </c>
      <c r="D19" s="11"/>
      <c r="E19" s="11"/>
      <c r="F19" s="11"/>
      <c r="G19" s="7"/>
    </row>
    <row r="20" spans="1:8" ht="15.75" thickBot="1" x14ac:dyDescent="0.3">
      <c r="A20" s="33" t="s">
        <v>1</v>
      </c>
      <c r="B20" s="21"/>
      <c r="C20" s="14"/>
      <c r="D20" s="13"/>
      <c r="E20" s="13"/>
      <c r="F20" s="13"/>
      <c r="G20" s="21"/>
    </row>
    <row r="21" spans="1:8" ht="64.5" thickBot="1" x14ac:dyDescent="0.3">
      <c r="A21" s="34"/>
      <c r="B21" s="35"/>
      <c r="C21" s="5" t="s">
        <v>5</v>
      </c>
      <c r="D21" s="5" t="s">
        <v>6</v>
      </c>
      <c r="E21" s="5" t="s">
        <v>7</v>
      </c>
      <c r="F21" s="4" t="s">
        <v>8</v>
      </c>
      <c r="G21" s="22" t="s">
        <v>9</v>
      </c>
      <c r="H21" s="20" t="s">
        <v>16</v>
      </c>
    </row>
    <row r="22" spans="1:8" ht="15.75" thickBot="1" x14ac:dyDescent="0.3">
      <c r="A22" s="36">
        <v>1</v>
      </c>
      <c r="B22" s="37"/>
      <c r="C22" s="5">
        <f>C4*C12</f>
        <v>0</v>
      </c>
      <c r="D22" s="5">
        <f t="shared" ref="D22:G22" si="2">D4*D12</f>
        <v>0</v>
      </c>
      <c r="E22" s="5">
        <f t="shared" si="2"/>
        <v>0</v>
      </c>
      <c r="F22" s="4">
        <f t="shared" si="2"/>
        <v>2200.0000000000005</v>
      </c>
      <c r="G22" s="22">
        <f t="shared" si="2"/>
        <v>0</v>
      </c>
      <c r="H22" s="19">
        <f>SUM(C22:G22)</f>
        <v>2200.0000000000005</v>
      </c>
    </row>
    <row r="23" spans="1:8" ht="15.75" thickBot="1" x14ac:dyDescent="0.3">
      <c r="A23" s="36">
        <v>2</v>
      </c>
      <c r="B23" s="37"/>
      <c r="C23" s="5">
        <f t="shared" ref="C23:G25" si="3">C5*C13</f>
        <v>0</v>
      </c>
      <c r="D23" s="5">
        <f t="shared" si="3"/>
        <v>-1.7763568394002505E-14</v>
      </c>
      <c r="E23" s="5">
        <f t="shared" si="3"/>
        <v>0</v>
      </c>
      <c r="F23" s="4">
        <f t="shared" si="3"/>
        <v>0</v>
      </c>
      <c r="G23" s="22">
        <f t="shared" si="3"/>
        <v>5123.0459770994075</v>
      </c>
      <c r="H23" s="19">
        <f t="shared" ref="H23:H25" si="4">SUM(C23:G23)</f>
        <v>5123.0459770994075</v>
      </c>
    </row>
    <row r="24" spans="1:8" ht="15.75" thickBot="1" x14ac:dyDescent="0.3">
      <c r="A24" s="36">
        <v>3</v>
      </c>
      <c r="B24" s="37"/>
      <c r="C24" s="5">
        <f t="shared" si="3"/>
        <v>2880.0000000000005</v>
      </c>
      <c r="D24" s="5">
        <f t="shared" si="3"/>
        <v>8400</v>
      </c>
      <c r="E24" s="5">
        <f t="shared" si="3"/>
        <v>1500.0000000000002</v>
      </c>
      <c r="F24" s="4">
        <f t="shared" si="3"/>
        <v>0</v>
      </c>
      <c r="G24" s="22">
        <f t="shared" si="3"/>
        <v>3016.9540229005916</v>
      </c>
      <c r="H24" s="19">
        <f t="shared" si="4"/>
        <v>15796.954022900591</v>
      </c>
    </row>
    <row r="25" spans="1:8" ht="15.75" thickBot="1" x14ac:dyDescent="0.3">
      <c r="A25" s="36">
        <v>4</v>
      </c>
      <c r="B25" s="37"/>
      <c r="C25" s="5">
        <f t="shared" si="3"/>
        <v>3.5527136788005009E-15</v>
      </c>
      <c r="D25" s="5">
        <f t="shared" si="3"/>
        <v>0</v>
      </c>
      <c r="E25" s="5">
        <f t="shared" si="3"/>
        <v>0</v>
      </c>
      <c r="F25" s="4">
        <f t="shared" si="3"/>
        <v>0</v>
      </c>
      <c r="G25" s="22">
        <f t="shared" si="3"/>
        <v>600</v>
      </c>
      <c r="H25" s="19">
        <f t="shared" si="4"/>
        <v>600</v>
      </c>
    </row>
    <row r="26" spans="1:8" x14ac:dyDescent="0.25">
      <c r="G26" s="19" t="s">
        <v>17</v>
      </c>
      <c r="H26" s="23">
        <f>SUM(H22:H25)</f>
        <v>23720</v>
      </c>
    </row>
  </sheetData>
  <mergeCells count="15">
    <mergeCell ref="A22:B22"/>
    <mergeCell ref="A23:B23"/>
    <mergeCell ref="A24:B24"/>
    <mergeCell ref="A25:B25"/>
    <mergeCell ref="C19:G19"/>
    <mergeCell ref="C20:G20"/>
    <mergeCell ref="A19:B19"/>
    <mergeCell ref="A20:B20"/>
    <mergeCell ref="A21:B21"/>
    <mergeCell ref="B1:B3"/>
    <mergeCell ref="C1:G1"/>
    <mergeCell ref="C2:G2"/>
    <mergeCell ref="B9:B11"/>
    <mergeCell ref="C9:G9"/>
    <mergeCell ref="C10:G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Кнопка1_Щелчок">
                <anchor moveWithCells="1" sizeWithCells="1">
                  <from>
                    <xdr:col>8</xdr:col>
                    <xdr:colOff>600075</xdr:colOff>
                    <xdr:row>4</xdr:row>
                    <xdr:rowOff>0</xdr:rowOff>
                  </from>
                  <to>
                    <xdr:col>12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Лист1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Директор</dc:creator>
  <cp:lastModifiedBy>Директор</cp:lastModifiedBy>
  <dcterms:created xsi:type="dcterms:W3CDTF">2025-01-14T23:57:41Z</dcterms:created>
  <dcterms:modified xsi:type="dcterms:W3CDTF">2025-01-15T06:09:03Z</dcterms:modified>
</cp:coreProperties>
</file>